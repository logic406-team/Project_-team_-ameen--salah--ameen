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sibilit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<sst xmlns="http://schemas.openxmlformats.org/spreadsheetml/2006/main" count="63" uniqueCount="60">
  <si>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Feasibility Study – Car Service Booking with Status Updates</t>
  </si>
  <si>
    <t xml:space="preserve">Feasibility Summary</t>
  </si>
  <si>
    <t xml:space="preserve">Type</t>
  </si>
  <si>
    <t xml:space="preserve">Current Situation / Considerations</t>
  </si>
  <si>
    <t xml:space="preserve">Proposed Solution / Benefits</t>
  </si>
  <si>
    <t xml:space="preserve">Feasibility Result</t>
  </si>
  <si>
    <t xml:space="preserve">Technical</t>
  </si>
  <si>
    <t xml:space="preserve">Bookings by phone and paper; no tracking of car status.</t>
  </si>
  <si>
    <t xml:space="preserve">Web application with a database and SMS / e-mail notifications.</t>
  </si>
  <si>
    <t xml:space="preserve">Technically feasible</t>
  </si>
  <si>
    <t xml:space="preserve">Operational</t>
  </si>
  <si>
    <t xml:space="preserve">Staff spend a lot of time on calls; double bookings happen.</t>
  </si>
  <si>
    <t xml:space="preserve">Online booking and status updates; fewer calls and errors.</t>
  </si>
  <si>
    <t xml:space="preserve">Operationally feasible</t>
  </si>
  <si>
    <t xml:space="preserve">Economic</t>
  </si>
  <si>
    <t xml:space="preserve">Cost of development, hosting, training and maintenance.</t>
  </si>
  <si>
    <t xml:space="preserve">Saves staff time and paper, increases bookings (see table below).</t>
  </si>
  <si>
    <t xml:space="preserve">Legal</t>
  </si>
  <si>
    <t xml:space="preserve">System stores customers' personal data.</t>
  </si>
  <si>
    <t xml:space="preserve">Login with roles, protect the data, follow data protection law.</t>
  </si>
  <si>
    <t xml:space="preserve">Legally feasible</t>
  </si>
  <si>
    <t xml:space="preserve">Schedule</t>
  </si>
  <si>
    <t xml:space="preserve">Manual work cannot be improved quickly.</t>
  </si>
  <si>
    <t xml:space="preserve">About 3–5 months to build and test the system.</t>
  </si>
  <si>
    <t xml:space="preserve">Achievable timeline</t>
  </si>
  <si>
    <t xml:space="preserve">Cost–Benefit Analysis – Car Service Booking with Status Updates</t>
  </si>
  <si>
    <t xml:space="preserve">Category</t>
  </si>
  <si>
    <t xml:space="preserve">Description</t>
  </si>
  <si>
    <t xml:space="preserve">Estimated Cost (EGP)</t>
  </si>
  <si>
    <t xml:space="preserve">Benefits</t>
  </si>
  <si>
    <t xml:space="preserve">Estimated Value (EGP per year)</t>
  </si>
  <si>
    <t xml:space="preserve">Software</t>
  </si>
  <si>
    <t xml:space="preserve">Development, UI design and testing (one-time)</t>
  </si>
  <si>
    <t xml:space="preserve">Online booking with free time slots, 24/7; brings extra bookings.</t>
  </si>
  <si>
    <t xml:space="preserve">Hardware</t>
  </si>
  <si>
    <t xml:space="preserve">Hosting setup and 3 tablets for technicians (one-time)</t>
  </si>
  <si>
    <t xml:space="preserve">Fast status updates from the workshop; reminders reduce no-shows.</t>
  </si>
  <si>
    <t xml:space="preserve">Training</t>
  </si>
  <si>
    <t xml:space="preserve">Staff training sessions (one-time)</t>
  </si>
  <si>
    <t xml:space="preserve">Smooth transition, staff use the system correctly.</t>
  </si>
  <si>
    <t xml:space="preserve">-</t>
  </si>
  <si>
    <t xml:space="preserve">Maintenance</t>
  </si>
  <si>
    <t xml:space="preserve">Hosting, SMS fees, updates and bug fixes (yearly)</t>
  </si>
  <si>
    <t xml:space="preserve">Keeps the system reliable and secure.</t>
  </si>
  <si>
    <t xml:space="preserve">Administration</t>
  </si>
  <si>
    <t xml:space="preserve">Current manual system (notebooks, paper forms, phone calls)</t>
  </si>
  <si>
    <t xml:space="preserve">Less paper and less staff time spent on calls.</t>
  </si>
  <si>
    <t xml:space="preserve">User Experience</t>
  </si>
  <si>
    <t xml:space="preserve">Customers call to ask about their car</t>
  </si>
  <si>
    <t xml:space="preserve">Customers follow car status online; higher satisfaction.</t>
  </si>
  <si>
    <t xml:space="preserve">Intangible but high value</t>
  </si>
  <si>
    <t xml:space="preserve">Summary</t>
  </si>
  <si>
    <t xml:space="preserve">Total one-time costs</t>
  </si>
  <si>
    <t xml:space="preserve">Total yearly costs</t>
  </si>
  <si>
    <t xml:space="preserve">Total annual benefits</t>
  </si>
  <si>
    <t xml:space="preserve">Net benefit per year</t>
  </si>
  <si>
    <t xml:space="preserve">Payback period (months)</t>
  </si>
  <si>
    <t xml:space="preserve">ROI after 3 years</t>
  </si>
  <si>
    <t xml:space="preserve">Conclusion: The Car Service Booking system is economically feasible, with clear cost savings and long-term value.</t>
  </si>
  <si>
    <t xml:space="preserve">Note: all amounts are team estimates.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</si>
</sst>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1.7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41.7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41.75" hidden="false" customHeight="false" outlineLevel="0" collapsed="false">
      <c r="A7" s="4" t="s">
        <v>14</v>
      </c>
      <c r="B7" s="4" t="s">
        <v>15</v>
      </c>
      <c r="C7" s="4" t="s">
        <v>16</v>
      </c>
      <c r="D7" s="4" t="str">
        <f aca="false">IF(C27&gt;0,"Cost-effective","Not cost-effective")</f>
        <v>Cost-effective</v>
      </c>
    </row>
    <row r="8" customFormat="false" ht="41.75" hidden="false" customHeight="false" outlineLevel="0" collapsed="false">
      <c r="A8" s="4" t="s">
        <v>17</v>
      </c>
      <c r="B8" s="4" t="s">
        <v>18</v>
      </c>
      <c r="C8" s="4" t="s">
        <v>19</v>
      </c>
      <c r="D8" s="4" t="s">
        <v>20</v>
      </c>
    </row>
    <row r="9" customFormat="false" ht="28.35" hidden="false" customHeight="false" outlineLevel="0" collapsed="false">
      <c r="A9" s="4" t="s">
        <v>21</v>
      </c>
      <c r="B9" s="4" t="s">
        <v>22</v>
      </c>
      <c r="C9" s="4" t="s">
        <v>23</v>
      </c>
      <c r="D9" s="4" t="s">
        <v>24</v>
      </c>
    </row>
    <row r="12" customFormat="false" ht="15" hidden="false" customHeight="false" outlineLevel="0" collapsed="false">
      <c r="A12" s="2" t="s">
        <v>25</v>
      </c>
      <c r="B12" s="2"/>
      <c r="C12" s="2"/>
      <c r="D12" s="2"/>
      <c r="E12" s="2"/>
    </row>
    <row r="14" customFormat="false" ht="28.35" hidden="false" customHeight="false" outlineLevel="0" collapsed="false">
      <c r="A14" s="3" t="s">
        <v>26</v>
      </c>
      <c r="B14" s="3" t="s">
        <v>27</v>
      </c>
      <c r="C14" s="3" t="s">
        <v>28</v>
      </c>
      <c r="D14" s="3" t="s">
        <v>29</v>
      </c>
      <c r="E14" s="3" t="s">
        <v>30</v>
      </c>
    </row>
    <row r="15" customFormat="false" ht="28.35" hidden="false" customHeight="false" outlineLevel="0" collapsed="false">
      <c r="A15" s="4" t="s">
        <v>31</v>
      </c>
      <c r="B15" s="4" t="s">
        <v>32</v>
      </c>
      <c r="C15" s="5" t="n">
        <v>53000</v>
      </c>
      <c r="D15" s="4" t="s">
        <v>33</v>
      </c>
      <c r="E15" s="5" t="n">
        <v>28800</v>
      </c>
    </row>
    <row r="16" customFormat="false" ht="28.35" hidden="false" customHeight="false" outlineLevel="0" collapsed="false">
      <c r="A16" s="4" t="s">
        <v>34</v>
      </c>
      <c r="B16" s="4" t="s">
        <v>35</v>
      </c>
      <c r="C16" s="5" t="n">
        <v>15000</v>
      </c>
      <c r="D16" s="4" t="s">
        <v>36</v>
      </c>
      <c r="E16" s="5" t="n">
        <v>36000</v>
      </c>
    </row>
    <row r="17" customFormat="false" ht="15" hidden="false" customHeight="false" outlineLevel="0" collapsed="false">
      <c r="A17" s="4" t="s">
        <v>37</v>
      </c>
      <c r="B17" s="4" t="s">
        <v>38</v>
      </c>
      <c r="C17" s="5" t="n">
        <v>4000</v>
      </c>
      <c r="D17" s="4" t="s">
        <v>39</v>
      </c>
      <c r="E17" s="4" t="s">
        <v>40</v>
      </c>
    </row>
    <row r="18" customFormat="false" ht="15" hidden="false" customHeight="false" outlineLevel="0" collapsed="false">
      <c r="A18" s="4" t="s">
        <v>41</v>
      </c>
      <c r="B18" s="4" t="s">
        <v>42</v>
      </c>
      <c r="C18" s="5" t="n">
        <v>21760</v>
      </c>
      <c r="D18" s="4" t="s">
        <v>43</v>
      </c>
      <c r="E18" s="4" t="s">
        <v>40</v>
      </c>
    </row>
    <row r="19" customFormat="false" ht="28.35" hidden="false" customHeight="false" outlineLevel="0" collapsed="false">
      <c r="A19" s="4" t="s">
        <v>44</v>
      </c>
      <c r="B19" s="4" t="s">
        <v>45</v>
      </c>
      <c r="C19" s="4" t="s">
        <v>40</v>
      </c>
      <c r="D19" s="4" t="s">
        <v>46</v>
      </c>
      <c r="E19" s="5" t="n">
        <v>30960</v>
      </c>
    </row>
    <row r="20" customFormat="false" ht="28.35" hidden="false" customHeight="false" outlineLevel="0" collapsed="false">
      <c r="A20" s="4" t="s">
        <v>47</v>
      </c>
      <c r="B20" s="4" t="s">
        <v>48</v>
      </c>
      <c r="C20" s="4" t="s">
        <v>40</v>
      </c>
      <c r="D20" s="4" t="s">
        <v>49</v>
      </c>
      <c r="E20" s="4" t="s">
        <v>50</v>
      </c>
    </row>
    <row r="23" customFormat="false" ht="15" hidden="false" customHeight="false" outlineLevel="0" collapsed="false">
      <c r="A23" s="2" t="s">
        <v>51</v>
      </c>
      <c r="B23" s="2"/>
      <c r="C23" s="2"/>
      <c r="D23" s="2"/>
      <c r="E23" s="2"/>
    </row>
    <row r="24" customFormat="false" ht="15" hidden="false" customHeight="false" outlineLevel="0" collapsed="false">
      <c r="A24" s="4" t="s">
        <v>52</v>
      </c>
      <c r="C24" s="5" t="n">
        <f aca="false">SUM(C15:C17)</f>
        <v>72000</v>
      </c>
    </row>
    <row r="25" customFormat="false" ht="15" hidden="false" customHeight="false" outlineLevel="0" collapsed="false">
      <c r="A25" s="4" t="s">
        <v>53</v>
      </c>
      <c r="C25" s="5" t="n">
        <f aca="false">C18</f>
        <v>21760</v>
      </c>
    </row>
    <row r="26" customFormat="false" ht="15" hidden="false" customHeight="false" outlineLevel="0" collapsed="false">
      <c r="A26" s="4" t="s">
        <v>54</v>
      </c>
      <c r="C26" s="5" t="n">
        <f aca="false">SUM(E15:E20)</f>
        <v>95760</v>
      </c>
    </row>
    <row r="27" customFormat="false" ht="15" hidden="false" customHeight="false" outlineLevel="0" collapsed="false">
      <c r="A27" s="4" t="s">
        <v>55</v>
      </c>
      <c r="C27" s="5" t="n">
        <f aca="false">C26-C25</f>
        <v>74000</v>
      </c>
    </row>
    <row r="28" customFormat="false" ht="15" hidden="false" customHeight="false" outlineLevel="0" collapsed="false">
      <c r="A28" s="4" t="s">
        <v>56</v>
      </c>
      <c r="C28" s="6" t="n">
        <f aca="false">C24/C27*12</f>
        <v>11.6756756756757</v>
      </c>
    </row>
    <row r="29" customFormat="false" ht="15" hidden="false" customHeight="false" outlineLevel="0" collapsed="false">
      <c r="A29" s="4" t="s">
        <v>57</v>
      </c>
      <c r="C29" s="7" t="n">
        <f aca="false">(C27*3-C24)/C24</f>
        <v>2.08333333333333</v>
      </c>
    </row>
    <row r="31" customFormat="false" ht="15" hidden="false" customHeight="false" outlineLevel="0" collapsed="false">
      <c r="A31" s="8" t="s">
        <v>58</v>
      </c>
      <c r="B31" s="8"/>
      <c r="C31" s="8"/>
      <c r="D31" s="8"/>
      <c r="E31" s="8"/>
    </row>
    <row r="32" customFormat="false" ht="15" hidden="false" customHeight="false" outlineLevel="0" collapsed="false">
      <c r="A32" s="9" t="s">
        <v>59</v>
      </c>
      <c r="B32" s="9"/>
      <c r="C32" s="9"/>
      <c r="D32" s="9"/>
      <c r="E32" s="9"/>
    </row>
  </sheetData>
  <mergeCells count="6">
    <mergeCell ref="A1:E1"/>
    <mergeCell ref="A3:E3"/>
    <mergeCell ref="A12:E12"/>
    <mergeCell ref="A23:E23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2026-10-04T08:44:50Z</dcterms:created>
  <dc:creator>openpyxl</dc:creator>
  <dc:description/>
  <dc:language>en-US</dc:language>
  <cp:lastModifiedBy/>
  <dcterms:modified xsi:type="dcterms:W3CDTF">2026-10-04T08:44:50Z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