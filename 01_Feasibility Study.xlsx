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Amin fuctry\"/>
    </mc:Choice>
  </mc:AlternateContent>
  <xr:revisionPtr revIDLastSave="0" documentId="8_{B4DA444D-01A7-49DE-8292-8F0DB023076A}" xr6:coauthVersionLast="47" xr6:coauthVersionMax="47" xr10:uidLastSave="{00000000-0000-0000-0000-000000000000}"/>
  <bookViews>
    <workbookView xWindow="-110" yWindow="-110" windowWidth="19420" windowHeight="11620" tabRatio="500" xr2:uid="{00000000-000D-0000-FFFF-FFFF00000000}"/>
  </bookViews>
  <sheets>
    <sheet name="Feasibility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1" l="1"/>
  <c r="C27" i="1" s="1"/>
  <c r="C25" i="1"/>
  <c r="C24" i="1"/>
  <c r="C28" i="1" s="1"/>
  <c r="C29" i="1" l="1"/>
  <c r="D7" i="1"/>
</calcChain>
</file>

<file path=xl/sharedStrings.xml><?xml version="1.0" encoding="utf-8"?>
<sst xmlns="http://schemas.openxmlformats.org/spreadsheetml/2006/main" count="63" uniqueCount="60">
  <si>
    <t>Feasibility Study – Public Facility Reservation System</t>
  </si>
  <si>
    <t>Feasibility Summary</t>
  </si>
  <si>
    <t>Type</t>
  </si>
  <si>
    <t>Current Situation / Considerations</t>
  </si>
  <si>
    <t>Proposed Solution / Benefits</t>
  </si>
  <si>
    <t>Feasibility Result</t>
  </si>
  <si>
    <t>Technical</t>
  </si>
  <si>
    <t>Reservations by phone and paper; no online availability or status tracking.</t>
  </si>
  <si>
    <t>Web application with a database and SMS / e-mail notifications.</t>
  </si>
  <si>
    <t>Technically feasible</t>
  </si>
  <si>
    <t>Operational</t>
  </si>
  <si>
    <t>Staff spend a lot of time on calls; double bookings happen.</t>
  </si>
  <si>
    <t>Online reservation and status updates; fewer calls and errors.</t>
  </si>
  <si>
    <t>Operationally feasible</t>
  </si>
  <si>
    <t>Economic</t>
  </si>
  <si>
    <t>Cost of development, hosting, training and maintenance.</t>
  </si>
  <si>
    <t>Saves staff time and paper, increases bookings (see table below).</t>
  </si>
  <si>
    <t>Legal</t>
  </si>
  <si>
    <t>System stores citizens' personal data.</t>
  </si>
  <si>
    <t>Login with roles, protect the data, follow data protection law.</t>
  </si>
  <si>
    <t>Legally feasible</t>
  </si>
  <si>
    <t>Schedule</t>
  </si>
  <si>
    <t>Manual work cannot be improved quickly.</t>
  </si>
  <si>
    <t>About 3–5 months to build and test the system.</t>
  </si>
  <si>
    <t>Achievable timeline</t>
  </si>
  <si>
    <t>Cost–Benefit Analysis – Public Facility Reservation System</t>
  </si>
  <si>
    <t>Category</t>
  </si>
  <si>
    <t>Description</t>
  </si>
  <si>
    <t>Estimated Cost (EGP)</t>
  </si>
  <si>
    <t>Benefits</t>
  </si>
  <si>
    <t>Estimated Value (EGP per year)</t>
  </si>
  <si>
    <t>Software</t>
  </si>
  <si>
    <t>Development, UI design and testing (one-time)</t>
  </si>
  <si>
    <t>Online reservation with available time slots, 24/7; brings extra reservations and fee revenue.</t>
  </si>
  <si>
    <t>Hardware</t>
  </si>
  <si>
    <t>Hosting setup and 3 tablets / entrance kiosks for facility staff (one-time)</t>
  </si>
  <si>
    <t>Fast approval and status updates; reminders reduce no-shows.</t>
  </si>
  <si>
    <t>Training</t>
  </si>
  <si>
    <t>Staff training sessions (one-time)</t>
  </si>
  <si>
    <t>Smooth transition, staff use the system correctly.</t>
  </si>
  <si>
    <t>-</t>
  </si>
  <si>
    <t>Maintenance</t>
  </si>
  <si>
    <t>Hosting, SMS fees, updates and bug fixes (yearly)</t>
  </si>
  <si>
    <t>Keeps the system reliable and secure.</t>
  </si>
  <si>
    <t>Administration</t>
  </si>
  <si>
    <t>Current manual system (notebooks, paper forms, phone calls)</t>
  </si>
  <si>
    <t>Less paper and less staff time spent on calls.</t>
  </si>
  <si>
    <t>User Experience</t>
  </si>
  <si>
    <t>Citizens call to ask about facility availability and reservation status</t>
  </si>
  <si>
    <t>Citizens check availability and follow reservation status online; higher satisfaction.</t>
  </si>
  <si>
    <t>Intangible but high value</t>
  </si>
  <si>
    <t>Summary</t>
  </si>
  <si>
    <t>Total one-time costs</t>
  </si>
  <si>
    <t>Total yearly costs</t>
  </si>
  <si>
    <t>Total annual benefits</t>
  </si>
  <si>
    <t>Net benefit per year</t>
  </si>
  <si>
    <t>Payback period (months)</t>
  </si>
  <si>
    <t>ROI after 3 years</t>
  </si>
  <si>
    <t>Conclusion: The Public Facility Reservation System is economically feasible, with clear cost savings and long-term value.</t>
  </si>
  <si>
    <t>Note: all amounts are team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</si>
</sst>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Calibri"/>
      <charset val="1"/>
    </font>
    <font>
      <b/>
      <sz val="12"/>
      <name val="Calibri"/>
      <charset val="1"/>
    </font>
    <font>
      <b/>
      <sz val="11"/>
      <name val="Calibri"/>
      <charset val="1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0" fontId="0" fillId="0" borderId="0" xfId="0" applyAlignme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3" fontId="4" fillId="0" borderId="0" xfId="0" applyNumberFormat="1" applyFont="1" applyAlignment="1">
      <alignment horizontal="left" vertical="top" wrapText="1"/>
    </xf>
    <xf numFmtId="1" fontId="4" fillId="0" borderId="0" xfId="0" applyNumberFormat="1" applyFont="1" applyAlignment="1">
      <alignment horizontal="left" vertical="top" wrapText="1"/>
    </xf>
    <xf numFmtId="9" fontId="4" fillId="0" borderId="0" xfId="0" applyNumberFormat="1" applyFont="1" applyAlignment="1">
      <alignment horizontal="left" vertical="top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2"/>
  <sheetViews>
    <sheetView rightToLeft="1" tabSelected="1" zoomScaleNormal="100" workbookViewId="0">
      <selection sqref="A1:E1"/>
    </sheetView>
  </sheetViews>
  <sheetFormatPr defaultColWidth="8.6328125" defaultRowHeight="14.5" x14ac:dyDescent="0.35"/>
  <cols>
    <col min="1" max="1" width="22" style="5" customWidth="1"/>
    <col min="2" max="2" width="44" style="5" customWidth="1"/>
    <col min="3" max="3" width="26" style="5" customWidth="1"/>
    <col min="4" max="4" width="46" style="5" customWidth="1"/>
    <col min="5" max="5" width="26" style="5" customWidth="1"/>
  </cols>
  <sheetData>
    <row r="1" spans="1:5" ht="17.25" customHeight="1" x14ac:dyDescent="0.35">
      <c r="A1" s="4" t="s">
        <v>0</v>
      </c>
      <c r="B1" s="4"/>
      <c r="C1" s="4"/>
      <c r="D1" s="4"/>
      <c r="E1" s="4"/>
    </row>
    <row r="3" spans="1:5" ht="15" customHeight="1" x14ac:dyDescent="0.35">
      <c r="A3" s="3" t="s">
        <v>1</v>
      </c>
      <c r="B3" s="3"/>
      <c r="C3" s="3"/>
      <c r="D3" s="3"/>
      <c r="E3" s="3"/>
    </row>
    <row r="4" spans="1:5" ht="15" customHeight="1" x14ac:dyDescent="0.35">
      <c r="A4" s="6" t="s">
        <v>2</v>
      </c>
      <c r="B4" s="6" t="s">
        <v>3</v>
      </c>
      <c r="C4" s="6" t="s">
        <v>4</v>
      </c>
      <c r="D4" s="6" t="s">
        <v>5</v>
      </c>
    </row>
    <row r="5" spans="1:5" ht="41.25" customHeight="1" x14ac:dyDescent="0.35">
      <c r="A5" s="7" t="s">
        <v>6</v>
      </c>
      <c r="B5" s="7" t="s">
        <v>7</v>
      </c>
      <c r="C5" s="7" t="s">
        <v>8</v>
      </c>
      <c r="D5" s="7" t="s">
        <v>9</v>
      </c>
    </row>
    <row r="6" spans="1:5" ht="41.25" customHeight="1" x14ac:dyDescent="0.35">
      <c r="A6" s="7" t="s">
        <v>10</v>
      </c>
      <c r="B6" s="7" t="s">
        <v>11</v>
      </c>
      <c r="C6" s="7" t="s">
        <v>12</v>
      </c>
      <c r="D6" s="7" t="s">
        <v>13</v>
      </c>
    </row>
    <row r="7" spans="1:5" ht="41.25" customHeight="1" x14ac:dyDescent="0.35">
      <c r="A7" s="7" t="s">
        <v>14</v>
      </c>
      <c r="B7" s="7" t="s">
        <v>15</v>
      </c>
      <c r="C7" s="7" t="s">
        <v>16</v>
      </c>
      <c r="D7" s="7" t="str">
        <f>IF(C27&gt;0,"Cost-effective","Not cost-effective")</f>
        <v>Cost-effective</v>
      </c>
    </row>
    <row r="8" spans="1:5" ht="41.25" customHeight="1" x14ac:dyDescent="0.35">
      <c r="A8" s="7" t="s">
        <v>17</v>
      </c>
      <c r="B8" s="7" t="s">
        <v>18</v>
      </c>
      <c r="C8" s="7" t="s">
        <v>19</v>
      </c>
      <c r="D8" s="7" t="s">
        <v>20</v>
      </c>
    </row>
    <row r="9" spans="1:5" ht="27.75" customHeight="1" x14ac:dyDescent="0.35">
      <c r="A9" s="7" t="s">
        <v>21</v>
      </c>
      <c r="B9" s="7" t="s">
        <v>22</v>
      </c>
      <c r="C9" s="7" t="s">
        <v>23</v>
      </c>
      <c r="D9" s="7" t="s">
        <v>24</v>
      </c>
    </row>
    <row r="12" spans="1:5" ht="15" customHeight="1" x14ac:dyDescent="0.35">
      <c r="A12" s="3" t="s">
        <v>25</v>
      </c>
      <c r="B12" s="3"/>
      <c r="C12" s="3"/>
      <c r="D12" s="3"/>
      <c r="E12" s="3"/>
    </row>
    <row r="14" spans="1:5" ht="27.75" customHeight="1" x14ac:dyDescent="0.35">
      <c r="A14" s="6" t="s">
        <v>26</v>
      </c>
      <c r="B14" s="6" t="s">
        <v>27</v>
      </c>
      <c r="C14" s="6" t="s">
        <v>28</v>
      </c>
      <c r="D14" s="6" t="s">
        <v>29</v>
      </c>
      <c r="E14" s="6" t="s">
        <v>30</v>
      </c>
    </row>
    <row r="15" spans="1:5" ht="27.75" customHeight="1" x14ac:dyDescent="0.35">
      <c r="A15" s="7" t="s">
        <v>31</v>
      </c>
      <c r="B15" s="7" t="s">
        <v>32</v>
      </c>
      <c r="C15" s="8">
        <v>53000</v>
      </c>
      <c r="D15" s="7" t="s">
        <v>33</v>
      </c>
      <c r="E15" s="8">
        <v>28800</v>
      </c>
    </row>
    <row r="16" spans="1:5" ht="27.75" customHeight="1" x14ac:dyDescent="0.35">
      <c r="A16" s="7" t="s">
        <v>34</v>
      </c>
      <c r="B16" s="7" t="s">
        <v>35</v>
      </c>
      <c r="C16" s="8">
        <v>15000</v>
      </c>
      <c r="D16" s="7" t="s">
        <v>36</v>
      </c>
      <c r="E16" s="8">
        <v>36000</v>
      </c>
    </row>
    <row r="17" spans="1:5" ht="15" customHeight="1" x14ac:dyDescent="0.35">
      <c r="A17" s="7" t="s">
        <v>37</v>
      </c>
      <c r="B17" s="7" t="s">
        <v>38</v>
      </c>
      <c r="C17" s="8">
        <v>4000</v>
      </c>
      <c r="D17" s="7" t="s">
        <v>39</v>
      </c>
      <c r="E17" s="7" t="s">
        <v>40</v>
      </c>
    </row>
    <row r="18" spans="1:5" ht="15" customHeight="1" x14ac:dyDescent="0.35">
      <c r="A18" s="7" t="s">
        <v>41</v>
      </c>
      <c r="B18" s="7" t="s">
        <v>42</v>
      </c>
      <c r="C18" s="8">
        <v>21760</v>
      </c>
      <c r="D18" s="7" t="s">
        <v>43</v>
      </c>
      <c r="E18" s="7" t="s">
        <v>40</v>
      </c>
    </row>
    <row r="19" spans="1:5" ht="27.75" customHeight="1" x14ac:dyDescent="0.35">
      <c r="A19" s="7" t="s">
        <v>44</v>
      </c>
      <c r="B19" s="7" t="s">
        <v>45</v>
      </c>
      <c r="C19" s="7" t="s">
        <v>40</v>
      </c>
      <c r="D19" s="7" t="s">
        <v>46</v>
      </c>
      <c r="E19" s="8">
        <v>30960</v>
      </c>
    </row>
    <row r="20" spans="1:5" ht="27.75" customHeight="1" x14ac:dyDescent="0.35">
      <c r="A20" s="7" t="s">
        <v>47</v>
      </c>
      <c r="B20" s="7" t="s">
        <v>48</v>
      </c>
      <c r="C20" s="7" t="s">
        <v>40</v>
      </c>
      <c r="D20" s="7" t="s">
        <v>49</v>
      </c>
      <c r="E20" s="7" t="s">
        <v>50</v>
      </c>
    </row>
    <row r="23" spans="1:5" ht="15" customHeight="1" x14ac:dyDescent="0.35">
      <c r="A23" s="3" t="s">
        <v>51</v>
      </c>
      <c r="B23" s="3"/>
      <c r="C23" s="3"/>
      <c r="D23" s="3"/>
      <c r="E23" s="3"/>
    </row>
    <row r="24" spans="1:5" ht="15" customHeight="1" x14ac:dyDescent="0.35">
      <c r="A24" s="7" t="s">
        <v>52</v>
      </c>
      <c r="C24" s="8">
        <f>SUM(C15:C17)</f>
        <v>72000</v>
      </c>
    </row>
    <row r="25" spans="1:5" ht="15" customHeight="1" x14ac:dyDescent="0.35">
      <c r="A25" s="7" t="s">
        <v>53</v>
      </c>
      <c r="C25" s="8">
        <f>C18</f>
        <v>21760</v>
      </c>
    </row>
    <row r="26" spans="1:5" ht="15" customHeight="1" x14ac:dyDescent="0.35">
      <c r="A26" s="7" t="s">
        <v>54</v>
      </c>
      <c r="C26" s="8">
        <f>SUM(E15:E20)</f>
        <v>95760</v>
      </c>
    </row>
    <row r="27" spans="1:5" ht="15" customHeight="1" x14ac:dyDescent="0.35">
      <c r="A27" s="7" t="s">
        <v>55</v>
      </c>
      <c r="C27" s="8">
        <f>C26-C25</f>
        <v>74000</v>
      </c>
    </row>
    <row r="28" spans="1:5" ht="15" customHeight="1" x14ac:dyDescent="0.35">
      <c r="A28" s="7" t="s">
        <v>56</v>
      </c>
      <c r="C28" s="9">
        <f>C24/C27*12</f>
        <v>11.675675675675677</v>
      </c>
    </row>
    <row r="29" spans="1:5" ht="15" customHeight="1" x14ac:dyDescent="0.35">
      <c r="A29" s="7" t="s">
        <v>57</v>
      </c>
      <c r="C29" s="10">
        <f>(C27*3-C24)/C24</f>
        <v>2.0833333333333335</v>
      </c>
    </row>
    <row r="31" spans="1:5" ht="15" customHeight="1" x14ac:dyDescent="0.35">
      <c r="A31" s="2" t="s">
        <v>58</v>
      </c>
      <c r="B31" s="2"/>
      <c r="C31" s="2"/>
      <c r="D31" s="2"/>
      <c r="E31" s="2"/>
    </row>
    <row r="32" spans="1:5" ht="15" customHeight="1" x14ac:dyDescent="0.35">
      <c r="A32" s="1" t="s">
        <v>59</v>
      </c>
      <c r="B32" s="1"/>
      <c r="C32" s="1"/>
      <c r="D32" s="1"/>
      <c r="E32" s="1"/>
    </row>
  </sheetData>
  <mergeCells count="6">
    <mergeCell ref="A32:E32"/>
    <mergeCell ref="A1:E1"/>
    <mergeCell ref="A3:E3"/>
    <mergeCell ref="A12:E12"/>
    <mergeCell ref="A23:E23"/>
    <mergeCell ref="A31:E31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Feasibility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Amin</cp:lastModifiedBy>
  <cp:revision>0</cp:revision>
  <dcterms:created xsi:type="dcterms:W3CDTF">2026-10-04T08:44:50Z</dcterms:created>
  <dcterms:modified xsi:type="dcterms:W3CDTF">2026-10-12T03:50:07Z</dcterms:modified>
  <dc:language>en-US</dc:language>
</cp:coreProperties>
</file>